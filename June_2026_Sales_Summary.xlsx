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2" documentId="11_8EA35FE92E7CB7DD6FDE4D1C1B2F05D2972A5790" xr6:coauthVersionLast="47" xr6:coauthVersionMax="47" xr10:uidLastSave="{4FB2485C-8955-4266-9BA1-291F1585F819}"/>
  <bookViews>
    <workbookView xWindow="-120" yWindow="-120" windowWidth="29040" windowHeight="15720" xr2:uid="{00000000-000D-0000-FFFF-FFFF00000000}"/>
  </bookViews>
  <sheets>
    <sheet name="June 2026 - All Sales" sheetId="1" r:id="rId1"/>
    <sheet name="June 2026 - Texas" sheetId="2" r:id="rId2"/>
    <sheet name="June 2026 - Ex Tex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3" l="1"/>
  <c r="C32" i="3"/>
  <c r="D35" i="2"/>
  <c r="C35" i="2"/>
  <c r="D36" i="1"/>
  <c r="C36" i="1"/>
</calcChain>
</file>

<file path=xl/sharedStrings.xml><?xml version="1.0" encoding="utf-8"?>
<sst xmlns="http://schemas.openxmlformats.org/spreadsheetml/2006/main" count="106" uniqueCount="40">
  <si>
    <t>June 2026 Sales Summary</t>
  </si>
  <si>
    <t>All Regions — Units = Single Units</t>
  </si>
  <si>
    <t>Category</t>
  </si>
  <si>
    <t>Subcategory</t>
  </si>
  <si>
    <t>Revenue</t>
  </si>
  <si>
    <t>Units (Singles)</t>
  </si>
  <si>
    <t>Prerolls</t>
  </si>
  <si>
    <t>Mini Doink 5-Pack THCA</t>
  </si>
  <si>
    <t>Mini Doink 5-Pack THCP</t>
  </si>
  <si>
    <t>Double Doink Jelly Hole</t>
  </si>
  <si>
    <t>Jelly Hole THCA</t>
  </si>
  <si>
    <t>Jelly Hole THCP</t>
  </si>
  <si>
    <t>Imperial Loaded THCA</t>
  </si>
  <si>
    <t>Imperial Loaded THCP</t>
  </si>
  <si>
    <t>Double Doink</t>
  </si>
  <si>
    <t>Vapes</t>
  </si>
  <si>
    <t>Lil Ripper THCP</t>
  </si>
  <si>
    <t>Lil Ripper Liquid Diamonds</t>
  </si>
  <si>
    <t>Imperial 1G Cartridge</t>
  </si>
  <si>
    <t>Lil Ripper HHC</t>
  </si>
  <si>
    <t>Lil Ripper D8</t>
  </si>
  <si>
    <t>Imperial Pod</t>
  </si>
  <si>
    <t>Edibles</t>
  </si>
  <si>
    <t>Euphoria Gummies D9</t>
  </si>
  <si>
    <t>Froot Jam</t>
  </si>
  <si>
    <t>Cereal Crunchies</t>
  </si>
  <si>
    <t>Functional Microdose</t>
  </si>
  <si>
    <t>Flower</t>
  </si>
  <si>
    <t>Zaza 3.5g</t>
  </si>
  <si>
    <t>Zaza 14g</t>
  </si>
  <si>
    <t>Fakies 3.5g</t>
  </si>
  <si>
    <t>Zaza QP</t>
  </si>
  <si>
    <t>Fakies QP</t>
  </si>
  <si>
    <t>Fakies 14g</t>
  </si>
  <si>
    <t>Other</t>
  </si>
  <si>
    <t>TOTAL</t>
  </si>
  <si>
    <t>June 2026 Sales Summary — Texas</t>
  </si>
  <si>
    <t>Texas Only — Units = Single Units</t>
  </si>
  <si>
    <t>June 2026 Sales Summary — Excluding Texas</t>
  </si>
  <si>
    <t>All Regions Minus Texas (Texas Edibles Included) — Units = Single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</si>
</sst>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1"/>
      <color rgb="FF666666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2D2D2D"/>
      </patternFill>
    </fill>
    <fill>
      <patternFill patternType="solid">
        <fgColor rgb="FFF0F0F0"/>
      </patternFill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0" fillId="3" borderId="0" xfId="0" applyFill="1"/>
    <xf numFmtId="164" fontId="4" fillId="3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3" fillId="4" borderId="0" xfId="0" applyFont="1" applyFill="1"/>
    <xf numFmtId="164" fontId="3" fillId="4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5276"/>
  </sheetPr>
  <dimension ref="A1:D36"/>
  <sheetViews>
    <sheetView tabSelected="1" workbookViewId="0">
      <selection activeCell="C22" sqref="C22"/>
    </sheetView>
  </sheetViews>
  <sheetFormatPr defaultRowHeight="15" x14ac:dyDescent="0.25"/>
  <cols>
    <col min="1" max="1" width="18" customWidth="1"/>
    <col min="2" max="2" width="32" customWidth="1"/>
    <col min="3" max="4" width="18" customWidth="1"/>
  </cols>
  <sheetData>
    <row r="1" spans="1:4" ht="18" x14ac:dyDescent="0.25">
      <c r="A1" s="13" t="s">
        <v>0</v>
      </c>
      <c r="B1" s="13"/>
      <c r="C1" s="13"/>
      <c r="D1" s="13"/>
    </row>
    <row r="2" spans="1:4" x14ac:dyDescent="0.25">
      <c r="A2" s="14" t="s">
        <v>1</v>
      </c>
      <c r="B2" s="14"/>
      <c r="C2" s="14"/>
      <c r="D2" s="14"/>
    </row>
    <row r="4" spans="1:4" x14ac:dyDescent="0.25">
      <c r="A4" s="1" t="s">
        <v>2</v>
      </c>
      <c r="B4" s="1" t="s">
        <v>3</v>
      </c>
      <c r="C4" s="2" t="s">
        <v>4</v>
      </c>
      <c r="D4" s="2" t="s">
        <v>5</v>
      </c>
    </row>
    <row r="5" spans="1:4" x14ac:dyDescent="0.25">
      <c r="A5" s="3" t="s">
        <v>6</v>
      </c>
      <c r="B5" s="4"/>
      <c r="C5" s="5">
        <v>1189877.51</v>
      </c>
      <c r="D5" s="6">
        <v>113105</v>
      </c>
    </row>
    <row r="6" spans="1:4" x14ac:dyDescent="0.25">
      <c r="B6" s="7" t="s">
        <v>7</v>
      </c>
      <c r="C6" s="8">
        <v>379428.32</v>
      </c>
      <c r="D6" s="9">
        <v>29976</v>
      </c>
    </row>
    <row r="7" spans="1:4" x14ac:dyDescent="0.25">
      <c r="B7" s="7" t="s">
        <v>8</v>
      </c>
      <c r="C7" s="8">
        <v>330909.82</v>
      </c>
      <c r="D7" s="9">
        <v>27871</v>
      </c>
    </row>
    <row r="8" spans="1:4" x14ac:dyDescent="0.25">
      <c r="B8" s="7" t="s">
        <v>9</v>
      </c>
      <c r="C8" s="8">
        <v>199455.45</v>
      </c>
      <c r="D8" s="9">
        <v>20760</v>
      </c>
    </row>
    <row r="9" spans="1:4" x14ac:dyDescent="0.25">
      <c r="B9" s="7" t="s">
        <v>10</v>
      </c>
      <c r="C9" s="8">
        <v>80656.69</v>
      </c>
      <c r="D9" s="9">
        <v>7822</v>
      </c>
    </row>
    <row r="10" spans="1:4" x14ac:dyDescent="0.25">
      <c r="B10" s="7" t="s">
        <v>11</v>
      </c>
      <c r="C10" s="8">
        <v>77820.3</v>
      </c>
      <c r="D10" s="9">
        <v>8905</v>
      </c>
    </row>
    <row r="11" spans="1:4" x14ac:dyDescent="0.25">
      <c r="B11" s="7" t="s">
        <v>12</v>
      </c>
      <c r="C11" s="8">
        <v>57090.23</v>
      </c>
      <c r="D11" s="9">
        <v>7495</v>
      </c>
    </row>
    <row r="12" spans="1:4" x14ac:dyDescent="0.25">
      <c r="B12" s="7" t="s">
        <v>13</v>
      </c>
      <c r="C12" s="8">
        <v>55395.81</v>
      </c>
      <c r="D12" s="9">
        <v>9604</v>
      </c>
    </row>
    <row r="13" spans="1:4" x14ac:dyDescent="0.25">
      <c r="B13" s="7" t="s">
        <v>14</v>
      </c>
      <c r="C13" s="8">
        <v>9120.89</v>
      </c>
      <c r="D13" s="9">
        <v>672</v>
      </c>
    </row>
    <row r="14" spans="1:4" x14ac:dyDescent="0.25">
      <c r="A14" s="3" t="s">
        <v>15</v>
      </c>
      <c r="B14" s="4"/>
      <c r="C14" s="5">
        <v>639379.06000000006</v>
      </c>
      <c r="D14" s="6">
        <v>42712</v>
      </c>
    </row>
    <row r="15" spans="1:4" x14ac:dyDescent="0.25">
      <c r="B15" s="7" t="s">
        <v>16</v>
      </c>
      <c r="C15" s="8">
        <v>323405.11</v>
      </c>
      <c r="D15" s="9">
        <v>20031</v>
      </c>
    </row>
    <row r="16" spans="1:4" x14ac:dyDescent="0.25">
      <c r="B16" s="7" t="s">
        <v>17</v>
      </c>
      <c r="C16" s="8">
        <v>268731.74</v>
      </c>
      <c r="D16" s="9">
        <v>17446</v>
      </c>
    </row>
    <row r="17" spans="1:4" x14ac:dyDescent="0.25">
      <c r="B17" s="7" t="s">
        <v>18</v>
      </c>
      <c r="C17" s="8">
        <v>39720.36</v>
      </c>
      <c r="D17" s="9">
        <v>4765</v>
      </c>
    </row>
    <row r="18" spans="1:4" x14ac:dyDescent="0.25">
      <c r="B18" s="7" t="s">
        <v>19</v>
      </c>
      <c r="C18" s="8">
        <v>4288.66</v>
      </c>
      <c r="D18" s="9">
        <v>200</v>
      </c>
    </row>
    <row r="19" spans="1:4" x14ac:dyDescent="0.25">
      <c r="B19" s="7" t="s">
        <v>20</v>
      </c>
      <c r="C19" s="8">
        <v>3041.18</v>
      </c>
      <c r="D19" s="9">
        <v>260</v>
      </c>
    </row>
    <row r="20" spans="1:4" x14ac:dyDescent="0.25">
      <c r="B20" s="7" t="s">
        <v>21</v>
      </c>
      <c r="C20" s="8">
        <v>192.01</v>
      </c>
      <c r="D20" s="9">
        <v>10</v>
      </c>
    </row>
    <row r="21" spans="1:4" x14ac:dyDescent="0.25">
      <c r="A21" s="3" t="s">
        <v>22</v>
      </c>
      <c r="B21" s="4"/>
      <c r="C21" s="5">
        <v>439086.97</v>
      </c>
      <c r="D21" s="6">
        <v>32390</v>
      </c>
    </row>
    <row r="22" spans="1:4" x14ac:dyDescent="0.25">
      <c r="B22" s="7" t="s">
        <v>23</v>
      </c>
      <c r="C22" s="8">
        <v>360691.17</v>
      </c>
      <c r="D22" s="9">
        <v>28396</v>
      </c>
    </row>
    <row r="23" spans="1:4" x14ac:dyDescent="0.25">
      <c r="B23" s="7" t="s">
        <v>24</v>
      </c>
      <c r="C23" s="8">
        <v>33482.699999999997</v>
      </c>
      <c r="D23" s="9">
        <v>905</v>
      </c>
    </row>
    <row r="24" spans="1:4" x14ac:dyDescent="0.25">
      <c r="B24" s="7" t="s">
        <v>25</v>
      </c>
      <c r="C24" s="8">
        <v>30496.22</v>
      </c>
      <c r="D24" s="9">
        <v>1738</v>
      </c>
    </row>
    <row r="25" spans="1:4" x14ac:dyDescent="0.25">
      <c r="B25" s="7" t="s">
        <v>26</v>
      </c>
      <c r="C25" s="8">
        <v>14416.88</v>
      </c>
      <c r="D25" s="9">
        <v>1351</v>
      </c>
    </row>
    <row r="26" spans="1:4" x14ac:dyDescent="0.25">
      <c r="A26" s="3" t="s">
        <v>27</v>
      </c>
      <c r="B26" s="4"/>
      <c r="C26" s="5">
        <v>153127.49</v>
      </c>
      <c r="D26" s="6">
        <v>5346</v>
      </c>
    </row>
    <row r="27" spans="1:4" x14ac:dyDescent="0.25">
      <c r="B27" s="7" t="s">
        <v>28</v>
      </c>
      <c r="C27" s="8">
        <v>99037.75</v>
      </c>
      <c r="D27" s="9">
        <v>3732</v>
      </c>
    </row>
    <row r="28" spans="1:4" x14ac:dyDescent="0.25">
      <c r="B28" s="7" t="s">
        <v>29</v>
      </c>
      <c r="C28" s="8">
        <v>25453.7</v>
      </c>
      <c r="D28" s="9">
        <v>434</v>
      </c>
    </row>
    <row r="29" spans="1:4" x14ac:dyDescent="0.25">
      <c r="B29" s="7" t="s">
        <v>30</v>
      </c>
      <c r="C29" s="8">
        <v>22206.42</v>
      </c>
      <c r="D29" s="9">
        <v>1166</v>
      </c>
    </row>
    <row r="30" spans="1:4" x14ac:dyDescent="0.25">
      <c r="B30" s="7" t="s">
        <v>31</v>
      </c>
      <c r="C30" s="8">
        <v>4418.93</v>
      </c>
      <c r="D30" s="9">
        <v>6</v>
      </c>
    </row>
    <row r="31" spans="1:4" x14ac:dyDescent="0.25">
      <c r="B31" s="7" t="s">
        <v>32</v>
      </c>
      <c r="C31" s="8">
        <v>1487.89</v>
      </c>
      <c r="D31" s="9">
        <v>4</v>
      </c>
    </row>
    <row r="32" spans="1:4" x14ac:dyDescent="0.25">
      <c r="B32" s="7" t="s">
        <v>33</v>
      </c>
      <c r="C32" s="8">
        <v>522.79999999999995</v>
      </c>
      <c r="D32" s="9">
        <v>4</v>
      </c>
    </row>
    <row r="33" spans="1:4" x14ac:dyDescent="0.25">
      <c r="A33" s="3" t="s">
        <v>34</v>
      </c>
      <c r="B33" s="4"/>
      <c r="C33" s="5">
        <v>6702.21</v>
      </c>
      <c r="D33" s="6">
        <v>10437</v>
      </c>
    </row>
    <row r="34" spans="1:4" x14ac:dyDescent="0.25">
      <c r="B34" s="7" t="s">
        <v>34</v>
      </c>
      <c r="C34" s="8">
        <v>6702.21</v>
      </c>
      <c r="D34" s="9">
        <v>10437</v>
      </c>
    </row>
    <row r="36" spans="1:4" x14ac:dyDescent="0.25">
      <c r="A36" s="10" t="s">
        <v>35</v>
      </c>
      <c r="B36" s="10"/>
      <c r="C36" s="11">
        <f>SUM(C5,C14,C21,C26,C33)</f>
        <v>2428173.2400000002</v>
      </c>
      <c r="D36" s="12">
        <f>SUM(D5,D14,D21,D26,D33)</f>
        <v>203990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5276"/>
  </sheetPr>
  <dimension ref="A1:D35"/>
  <sheetViews>
    <sheetView workbookViewId="0">
      <selection activeCell="D21" sqref="D21"/>
    </sheetView>
  </sheetViews>
  <sheetFormatPr defaultRowHeight="15" x14ac:dyDescent="0.25"/>
  <cols>
    <col min="1" max="1" width="18" customWidth="1"/>
    <col min="2" max="2" width="32" customWidth="1"/>
    <col min="3" max="4" width="18" customWidth="1"/>
  </cols>
  <sheetData>
    <row r="1" spans="1:4" ht="18" x14ac:dyDescent="0.25">
      <c r="A1" s="13" t="s">
        <v>36</v>
      </c>
      <c r="B1" s="13"/>
      <c r="C1" s="13"/>
      <c r="D1" s="13"/>
    </row>
    <row r="2" spans="1:4" x14ac:dyDescent="0.25">
      <c r="A2" s="14" t="s">
        <v>37</v>
      </c>
      <c r="B2" s="14"/>
      <c r="C2" s="14"/>
      <c r="D2" s="14"/>
    </row>
    <row r="4" spans="1:4" x14ac:dyDescent="0.25">
      <c r="A4" s="1" t="s">
        <v>2</v>
      </c>
      <c r="B4" s="1" t="s">
        <v>3</v>
      </c>
      <c r="C4" s="2" t="s">
        <v>4</v>
      </c>
      <c r="D4" s="2" t="s">
        <v>5</v>
      </c>
    </row>
    <row r="5" spans="1:4" x14ac:dyDescent="0.25">
      <c r="A5" s="3" t="s">
        <v>6</v>
      </c>
      <c r="B5" s="4"/>
      <c r="C5" s="5">
        <v>568931.86</v>
      </c>
      <c r="D5" s="6">
        <v>103707</v>
      </c>
    </row>
    <row r="6" spans="1:4" x14ac:dyDescent="0.25">
      <c r="B6" s="7" t="s">
        <v>7</v>
      </c>
      <c r="C6" s="8">
        <v>193230.95</v>
      </c>
      <c r="D6" s="9">
        <v>25623</v>
      </c>
    </row>
    <row r="7" spans="1:4" x14ac:dyDescent="0.25">
      <c r="B7" s="7" t="s">
        <v>8</v>
      </c>
      <c r="C7" s="8">
        <v>145095.32</v>
      </c>
      <c r="D7" s="9">
        <v>19472</v>
      </c>
    </row>
    <row r="8" spans="1:4" x14ac:dyDescent="0.25">
      <c r="B8" s="7" t="s">
        <v>12</v>
      </c>
      <c r="C8" s="8">
        <v>80334.399999999994</v>
      </c>
      <c r="D8" s="9">
        <v>21874</v>
      </c>
    </row>
    <row r="9" spans="1:4" x14ac:dyDescent="0.25">
      <c r="B9" s="7" t="s">
        <v>13</v>
      </c>
      <c r="C9" s="8">
        <v>67674</v>
      </c>
      <c r="D9" s="9">
        <v>18551</v>
      </c>
    </row>
    <row r="10" spans="1:4" x14ac:dyDescent="0.25">
      <c r="B10" s="7" t="s">
        <v>10</v>
      </c>
      <c r="C10" s="8">
        <v>42062.33</v>
      </c>
      <c r="D10" s="9">
        <v>9302</v>
      </c>
    </row>
    <row r="11" spans="1:4" x14ac:dyDescent="0.25">
      <c r="B11" s="7" t="s">
        <v>11</v>
      </c>
      <c r="C11" s="8">
        <v>37189.980000000003</v>
      </c>
      <c r="D11" s="9">
        <v>8222</v>
      </c>
    </row>
    <row r="12" spans="1:4" x14ac:dyDescent="0.25">
      <c r="B12" s="7" t="s">
        <v>14</v>
      </c>
      <c r="C12" s="8">
        <v>3344.88</v>
      </c>
      <c r="D12" s="9">
        <v>663</v>
      </c>
    </row>
    <row r="13" spans="1:4" x14ac:dyDescent="0.25">
      <c r="A13" s="3" t="s">
        <v>15</v>
      </c>
      <c r="B13" s="4"/>
      <c r="C13" s="5">
        <v>19210.3</v>
      </c>
      <c r="D13" s="6">
        <v>2010</v>
      </c>
    </row>
    <row r="14" spans="1:4" x14ac:dyDescent="0.25">
      <c r="B14" s="7" t="s">
        <v>17</v>
      </c>
      <c r="C14" s="8">
        <v>8747.42</v>
      </c>
      <c r="D14" s="9">
        <v>968</v>
      </c>
    </row>
    <row r="15" spans="1:4" x14ac:dyDescent="0.25">
      <c r="B15" s="7" t="s">
        <v>16</v>
      </c>
      <c r="C15" s="8">
        <v>6596.04</v>
      </c>
      <c r="D15" s="9">
        <v>494</v>
      </c>
    </row>
    <row r="16" spans="1:4" x14ac:dyDescent="0.25">
      <c r="B16" s="7" t="s">
        <v>20</v>
      </c>
      <c r="C16" s="8">
        <v>2250</v>
      </c>
      <c r="D16" s="9">
        <v>300</v>
      </c>
    </row>
    <row r="17" spans="1:4" x14ac:dyDescent="0.25">
      <c r="B17" s="7" t="s">
        <v>18</v>
      </c>
      <c r="C17" s="8">
        <v>1182</v>
      </c>
      <c r="D17" s="9">
        <v>221</v>
      </c>
    </row>
    <row r="18" spans="1:4" x14ac:dyDescent="0.25">
      <c r="B18" s="7" t="s">
        <v>19</v>
      </c>
      <c r="C18" s="8">
        <v>434.84</v>
      </c>
      <c r="D18" s="9">
        <v>25</v>
      </c>
    </row>
    <row r="19" spans="1:4" x14ac:dyDescent="0.25">
      <c r="B19" s="7" t="s">
        <v>21</v>
      </c>
      <c r="C19" s="8">
        <v>0</v>
      </c>
      <c r="D19" s="9">
        <v>2</v>
      </c>
    </row>
    <row r="20" spans="1:4" x14ac:dyDescent="0.25">
      <c r="A20" s="3" t="s">
        <v>22</v>
      </c>
      <c r="B20" s="4"/>
      <c r="C20" s="5">
        <v>38792.249999999993</v>
      </c>
      <c r="D20" s="6">
        <v>7595</v>
      </c>
    </row>
    <row r="21" spans="1:4" x14ac:dyDescent="0.25">
      <c r="B21" s="7" t="s">
        <v>23</v>
      </c>
      <c r="C21" s="8">
        <v>33366.089999999997</v>
      </c>
      <c r="D21" s="9">
        <v>6752</v>
      </c>
    </row>
    <row r="22" spans="1:4" x14ac:dyDescent="0.25">
      <c r="B22" s="7" t="s">
        <v>25</v>
      </c>
      <c r="C22" s="8">
        <v>2948.52</v>
      </c>
      <c r="D22" s="9">
        <v>505</v>
      </c>
    </row>
    <row r="23" spans="1:4" x14ac:dyDescent="0.25">
      <c r="B23" s="7" t="s">
        <v>24</v>
      </c>
      <c r="C23" s="8">
        <v>2159.06</v>
      </c>
      <c r="D23" s="9">
        <v>281</v>
      </c>
    </row>
    <row r="24" spans="1:4" x14ac:dyDescent="0.25">
      <c r="B24" s="7" t="s">
        <v>26</v>
      </c>
      <c r="C24" s="8">
        <v>318.58</v>
      </c>
      <c r="D24" s="9">
        <v>57</v>
      </c>
    </row>
    <row r="25" spans="1:4" x14ac:dyDescent="0.25">
      <c r="A25" s="3" t="s">
        <v>27</v>
      </c>
      <c r="B25" s="4"/>
      <c r="C25" s="5">
        <v>36384</v>
      </c>
      <c r="D25" s="6">
        <v>1800</v>
      </c>
    </row>
    <row r="26" spans="1:4" x14ac:dyDescent="0.25">
      <c r="B26" s="7" t="s">
        <v>28</v>
      </c>
      <c r="C26" s="8">
        <v>14625</v>
      </c>
      <c r="D26" s="9">
        <v>892</v>
      </c>
    </row>
    <row r="27" spans="1:4" x14ac:dyDescent="0.25">
      <c r="B27" s="7" t="s">
        <v>29</v>
      </c>
      <c r="C27" s="8">
        <v>13489</v>
      </c>
      <c r="D27" s="9">
        <v>376</v>
      </c>
    </row>
    <row r="28" spans="1:4" x14ac:dyDescent="0.25">
      <c r="B28" s="7" t="s">
        <v>30</v>
      </c>
      <c r="C28" s="8">
        <v>5927</v>
      </c>
      <c r="D28" s="9">
        <v>523</v>
      </c>
    </row>
    <row r="29" spans="1:4" x14ac:dyDescent="0.25">
      <c r="B29" s="7" t="s">
        <v>32</v>
      </c>
      <c r="C29" s="8">
        <v>1225</v>
      </c>
      <c r="D29" s="9">
        <v>5</v>
      </c>
    </row>
    <row r="30" spans="1:4" x14ac:dyDescent="0.25">
      <c r="B30" s="7" t="s">
        <v>31</v>
      </c>
      <c r="C30" s="8">
        <v>950</v>
      </c>
      <c r="D30" s="9">
        <v>2</v>
      </c>
    </row>
    <row r="31" spans="1:4" x14ac:dyDescent="0.25">
      <c r="B31" s="7" t="s">
        <v>33</v>
      </c>
      <c r="C31" s="8">
        <v>168</v>
      </c>
      <c r="D31" s="9">
        <v>2</v>
      </c>
    </row>
    <row r="32" spans="1:4" x14ac:dyDescent="0.25">
      <c r="A32" s="3" t="s">
        <v>34</v>
      </c>
      <c r="B32" s="4"/>
      <c r="C32" s="5">
        <v>67579.179999999993</v>
      </c>
      <c r="D32" s="6">
        <v>515955</v>
      </c>
    </row>
    <row r="33" spans="1:4" x14ac:dyDescent="0.25">
      <c r="B33" s="7" t="s">
        <v>34</v>
      </c>
      <c r="C33" s="8">
        <v>67579.179999999993</v>
      </c>
      <c r="D33" s="9">
        <v>515955</v>
      </c>
    </row>
    <row r="35" spans="1:4" x14ac:dyDescent="0.25">
      <c r="A35" s="10" t="s">
        <v>35</v>
      </c>
      <c r="B35" s="10"/>
      <c r="C35" s="11">
        <f>SUM(C5,C13,C20,C25,C32)</f>
        <v>730897.59000000008</v>
      </c>
      <c r="D35" s="12">
        <f>SUM(D5,D13,D20,D25,D32)</f>
        <v>631067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5276"/>
  </sheetPr>
  <dimension ref="A1:D32"/>
  <sheetViews>
    <sheetView workbookViewId="0"/>
  </sheetViews>
  <sheetFormatPr defaultRowHeight="15" x14ac:dyDescent="0.25"/>
  <cols>
    <col min="1" max="1" width="18" customWidth="1"/>
    <col min="2" max="2" width="32" customWidth="1"/>
    <col min="3" max="4" width="18" customWidth="1"/>
  </cols>
  <sheetData>
    <row r="1" spans="1:4" ht="18" x14ac:dyDescent="0.25">
      <c r="A1" s="13" t="s">
        <v>38</v>
      </c>
      <c r="B1" s="13"/>
      <c r="C1" s="13"/>
      <c r="D1" s="13"/>
    </row>
    <row r="2" spans="1:4" x14ac:dyDescent="0.25">
      <c r="A2" s="14" t="s">
        <v>39</v>
      </c>
      <c r="B2" s="14"/>
      <c r="C2" s="14"/>
      <c r="D2" s="14"/>
    </row>
    <row r="4" spans="1:4" x14ac:dyDescent="0.25">
      <c r="A4" s="1" t="s">
        <v>2</v>
      </c>
      <c r="B4" s="1" t="s">
        <v>3</v>
      </c>
      <c r="C4" s="2" t="s">
        <v>4</v>
      </c>
      <c r="D4" s="2" t="s">
        <v>5</v>
      </c>
    </row>
    <row r="5" spans="1:4" x14ac:dyDescent="0.25">
      <c r="A5" s="3" t="s">
        <v>6</v>
      </c>
      <c r="B5" s="4"/>
      <c r="C5" s="5">
        <v>656468.01</v>
      </c>
      <c r="D5" s="6">
        <v>34204</v>
      </c>
    </row>
    <row r="6" spans="1:4" x14ac:dyDescent="0.25">
      <c r="B6" s="7" t="s">
        <v>9</v>
      </c>
      <c r="C6" s="8">
        <v>199455.45</v>
      </c>
      <c r="D6" s="9">
        <v>20760</v>
      </c>
    </row>
    <row r="7" spans="1:4" x14ac:dyDescent="0.25">
      <c r="B7" s="7" t="s">
        <v>7</v>
      </c>
      <c r="C7" s="8">
        <v>186197.37</v>
      </c>
      <c r="D7" s="9">
        <v>4353</v>
      </c>
    </row>
    <row r="8" spans="1:4" x14ac:dyDescent="0.25">
      <c r="B8" s="7" t="s">
        <v>8</v>
      </c>
      <c r="C8" s="8">
        <v>185814.5</v>
      </c>
      <c r="D8" s="9">
        <v>8399</v>
      </c>
    </row>
    <row r="9" spans="1:4" x14ac:dyDescent="0.25">
      <c r="B9" s="7" t="s">
        <v>11</v>
      </c>
      <c r="C9" s="8">
        <v>40630.32</v>
      </c>
      <c r="D9" s="9">
        <v>683</v>
      </c>
    </row>
    <row r="10" spans="1:4" x14ac:dyDescent="0.25">
      <c r="B10" s="7" t="s">
        <v>10</v>
      </c>
      <c r="C10" s="8">
        <v>38594.36</v>
      </c>
      <c r="D10" s="9">
        <v>0</v>
      </c>
    </row>
    <row r="11" spans="1:4" x14ac:dyDescent="0.25">
      <c r="B11" s="7" t="s">
        <v>14</v>
      </c>
      <c r="C11" s="8">
        <v>5776.01</v>
      </c>
      <c r="D11" s="9">
        <v>9</v>
      </c>
    </row>
    <row r="12" spans="1:4" x14ac:dyDescent="0.25">
      <c r="A12" s="3" t="s">
        <v>15</v>
      </c>
      <c r="B12" s="4"/>
      <c r="C12" s="5">
        <v>620168.76</v>
      </c>
      <c r="D12" s="6">
        <v>40742</v>
      </c>
    </row>
    <row r="13" spans="1:4" x14ac:dyDescent="0.25">
      <c r="B13" s="7" t="s">
        <v>16</v>
      </c>
      <c r="C13" s="8">
        <v>316809.07</v>
      </c>
      <c r="D13" s="9">
        <v>19537</v>
      </c>
    </row>
    <row r="14" spans="1:4" x14ac:dyDescent="0.25">
      <c r="B14" s="7" t="s">
        <v>17</v>
      </c>
      <c r="C14" s="8">
        <v>259984.32</v>
      </c>
      <c r="D14" s="9">
        <v>16478</v>
      </c>
    </row>
    <row r="15" spans="1:4" x14ac:dyDescent="0.25">
      <c r="B15" s="7" t="s">
        <v>18</v>
      </c>
      <c r="C15" s="8">
        <v>38538.36</v>
      </c>
      <c r="D15" s="9">
        <v>4544</v>
      </c>
    </row>
    <row r="16" spans="1:4" x14ac:dyDescent="0.25">
      <c r="B16" s="7" t="s">
        <v>19</v>
      </c>
      <c r="C16" s="8">
        <v>3853.82</v>
      </c>
      <c r="D16" s="9">
        <v>175</v>
      </c>
    </row>
    <row r="17" spans="1:4" x14ac:dyDescent="0.25">
      <c r="B17" s="7" t="s">
        <v>20</v>
      </c>
      <c r="C17" s="8">
        <v>791.18</v>
      </c>
      <c r="D17" s="9">
        <v>0</v>
      </c>
    </row>
    <row r="18" spans="1:4" x14ac:dyDescent="0.25">
      <c r="B18" s="7" t="s">
        <v>21</v>
      </c>
      <c r="C18" s="8">
        <v>192.01</v>
      </c>
      <c r="D18" s="9">
        <v>8</v>
      </c>
    </row>
    <row r="19" spans="1:4" x14ac:dyDescent="0.25">
      <c r="A19" s="3" t="s">
        <v>22</v>
      </c>
      <c r="B19" s="4"/>
      <c r="C19" s="5">
        <v>439086.97</v>
      </c>
      <c r="D19" s="6">
        <v>32390</v>
      </c>
    </row>
    <row r="20" spans="1:4" x14ac:dyDescent="0.25">
      <c r="B20" s="7" t="s">
        <v>23</v>
      </c>
      <c r="C20" s="8">
        <v>360691.17</v>
      </c>
      <c r="D20" s="9">
        <v>28396</v>
      </c>
    </row>
    <row r="21" spans="1:4" x14ac:dyDescent="0.25">
      <c r="B21" s="7" t="s">
        <v>24</v>
      </c>
      <c r="C21" s="8">
        <v>33482.699999999997</v>
      </c>
      <c r="D21" s="9">
        <v>905</v>
      </c>
    </row>
    <row r="22" spans="1:4" x14ac:dyDescent="0.25">
      <c r="B22" s="7" t="s">
        <v>25</v>
      </c>
      <c r="C22" s="8">
        <v>30496.22</v>
      </c>
      <c r="D22" s="9">
        <v>1738</v>
      </c>
    </row>
    <row r="23" spans="1:4" x14ac:dyDescent="0.25">
      <c r="B23" s="7" t="s">
        <v>26</v>
      </c>
      <c r="C23" s="8">
        <v>14416.88</v>
      </c>
      <c r="D23" s="9">
        <v>1351</v>
      </c>
    </row>
    <row r="24" spans="1:4" x14ac:dyDescent="0.25">
      <c r="A24" s="3" t="s">
        <v>27</v>
      </c>
      <c r="B24" s="4"/>
      <c r="C24" s="5">
        <v>116743.48999999999</v>
      </c>
      <c r="D24" s="6">
        <v>3547</v>
      </c>
    </row>
    <row r="25" spans="1:4" x14ac:dyDescent="0.25">
      <c r="B25" s="7" t="s">
        <v>28</v>
      </c>
      <c r="C25" s="8">
        <v>84412.75</v>
      </c>
      <c r="D25" s="9">
        <v>2840</v>
      </c>
    </row>
    <row r="26" spans="1:4" x14ac:dyDescent="0.25">
      <c r="B26" s="7" t="s">
        <v>30</v>
      </c>
      <c r="C26" s="8">
        <v>16279.42</v>
      </c>
      <c r="D26" s="9">
        <v>643</v>
      </c>
    </row>
    <row r="27" spans="1:4" x14ac:dyDescent="0.25">
      <c r="B27" s="7" t="s">
        <v>29</v>
      </c>
      <c r="C27" s="8">
        <v>11964.7</v>
      </c>
      <c r="D27" s="9">
        <v>58</v>
      </c>
    </row>
    <row r="28" spans="1:4" x14ac:dyDescent="0.25">
      <c r="B28" s="7" t="s">
        <v>31</v>
      </c>
      <c r="C28" s="8">
        <v>3468.93</v>
      </c>
      <c r="D28" s="9">
        <v>4</v>
      </c>
    </row>
    <row r="29" spans="1:4" x14ac:dyDescent="0.25">
      <c r="B29" s="7" t="s">
        <v>33</v>
      </c>
      <c r="C29" s="8">
        <v>354.8</v>
      </c>
      <c r="D29" s="9">
        <v>2</v>
      </c>
    </row>
    <row r="30" spans="1:4" x14ac:dyDescent="0.25">
      <c r="B30" s="7" t="s">
        <v>32</v>
      </c>
      <c r="C30" s="8">
        <v>262.89</v>
      </c>
      <c r="D30" s="9">
        <v>0</v>
      </c>
    </row>
    <row r="32" spans="1:4" x14ac:dyDescent="0.25">
      <c r="A32" s="10" t="s">
        <v>35</v>
      </c>
      <c r="B32" s="10"/>
      <c r="C32" s="11">
        <f>SUM(C5,C12,C19,C24)</f>
        <v>1832467.23</v>
      </c>
      <c r="D32" s="12">
        <f>SUM(D5,D12,D19,D24)</f>
        <v>110883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June 2026 - All Sales</vt:lpstr>
      <vt:lpstr>June 2026 - Texas</vt:lpstr>
      <vt:lpstr>June 2026 - Ex Texas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2026-08-11T16:18:21Z</dcterms:created>
  <dcterms:modified xsi:type="dcterms:W3CDTF">2026-08-11T17:54:05Z</dcterms:modified>
  <cp:category/>
</cp:coreProperties>
</file>